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uravb/0devprojects/"/>
    </mc:Choice>
  </mc:AlternateContent>
  <xr:revisionPtr revIDLastSave="0" documentId="13_ncr:1_{E5E7A7EC-9525-0241-9FC3-1B0A9C3617B9}" xr6:coauthVersionLast="47" xr6:coauthVersionMax="47" xr10:uidLastSave="{00000000-0000-0000-0000-000000000000}"/>
  <bookViews>
    <workbookView xWindow="0" yWindow="580" windowWidth="29920" windowHeight="18760" xr2:uid="{D8933C83-82C3-1549-AC83-2D96CF30F8BA}"/>
  </bookViews>
  <sheets>
    <sheet name="Employee Token Cost Mode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4" i="2" l="1"/>
  <c r="J64" i="2"/>
  <c r="J61" i="2"/>
  <c r="K60" i="2"/>
  <c r="J60" i="2"/>
  <c r="G28" i="2"/>
  <c r="F28" i="2"/>
  <c r="C28" i="2"/>
  <c r="K63" i="2" s="1"/>
  <c r="B28" i="2"/>
  <c r="J63" i="2" s="1"/>
  <c r="B25" i="2"/>
  <c r="G27" i="2"/>
  <c r="F27" i="2"/>
  <c r="C27" i="2"/>
  <c r="K62" i="2" s="1"/>
  <c r="B27" i="2"/>
  <c r="J62" i="2" s="1"/>
  <c r="G26" i="2"/>
  <c r="F26" i="2"/>
  <c r="C26" i="2"/>
  <c r="K61" i="2" s="1"/>
  <c r="B26" i="2"/>
  <c r="G25" i="2"/>
  <c r="F25" i="2"/>
  <c r="C25" i="2"/>
  <c r="C30" i="2" s="1"/>
  <c r="C33" i="2" s="1"/>
  <c r="B8" i="2"/>
  <c r="B9" i="2" s="1"/>
  <c r="B30" i="2" l="1"/>
  <c r="B33" i="2" s="1"/>
  <c r="G30" i="2"/>
  <c r="G33" i="2" s="1"/>
  <c r="F30" i="2"/>
  <c r="F33" i="2" s="1"/>
  <c r="B34" i="2"/>
  <c r="B35" i="2"/>
  <c r="C34" i="2"/>
  <c r="C35" i="2"/>
  <c r="G35" i="2"/>
  <c r="G37" i="2" s="1"/>
  <c r="J65" i="2" l="1"/>
  <c r="G34" i="2"/>
  <c r="K65" i="2"/>
  <c r="F34" i="2"/>
  <c r="D42" i="2" s="1"/>
  <c r="F35" i="2"/>
  <c r="F37" i="2" s="1"/>
  <c r="G43" i="2"/>
  <c r="G45" i="2"/>
  <c r="G42" i="2"/>
  <c r="C37" i="2"/>
  <c r="G44" i="2"/>
  <c r="C39" i="2"/>
  <c r="G39" i="2" s="1"/>
  <c r="E42" i="2"/>
  <c r="E44" i="2"/>
  <c r="E45" i="2"/>
  <c r="E43" i="2"/>
  <c r="F42" i="2"/>
  <c r="B37" i="2"/>
  <c r="D45" i="2"/>
  <c r="D43" i="2"/>
  <c r="D44" i="2"/>
  <c r="J54" i="2" l="1"/>
  <c r="J56" i="2"/>
  <c r="K55" i="2"/>
  <c r="J55" i="2"/>
  <c r="K57" i="2"/>
  <c r="K56" i="2"/>
  <c r="J57" i="2"/>
  <c r="K54" i="2"/>
  <c r="F45" i="2"/>
  <c r="F44" i="2"/>
  <c r="F50" i="2" s="1"/>
  <c r="F43" i="2"/>
  <c r="F49" i="2" s="1"/>
  <c r="B39" i="2"/>
  <c r="F39" i="2" s="1"/>
  <c r="I44" i="2"/>
  <c r="I50" i="2" s="1"/>
  <c r="D50" i="2"/>
  <c r="E49" i="2"/>
  <c r="J43" i="2"/>
  <c r="J49" i="2" s="1"/>
  <c r="I43" i="2"/>
  <c r="I49" i="2" s="1"/>
  <c r="D49" i="2"/>
  <c r="E51" i="2"/>
  <c r="J45" i="2"/>
  <c r="J51" i="2" s="1"/>
  <c r="D48" i="2"/>
  <c r="I42" i="2"/>
  <c r="I48" i="2" s="1"/>
  <c r="J44" i="2"/>
  <c r="J50" i="2" s="1"/>
  <c r="E50" i="2"/>
  <c r="I45" i="2"/>
  <c r="I51" i="2" s="1"/>
  <c r="D51" i="2"/>
  <c r="J42" i="2"/>
  <c r="J48" i="2" s="1"/>
  <c r="E48" i="2"/>
  <c r="K45" i="2"/>
  <c r="K51" i="2" s="1"/>
  <c r="F51" i="2"/>
  <c r="G50" i="2"/>
  <c r="L44" i="2"/>
  <c r="L50" i="2" s="1"/>
  <c r="K44" i="2"/>
  <c r="K50" i="2" s="1"/>
  <c r="L42" i="2"/>
  <c r="L48" i="2" s="1"/>
  <c r="G48" i="2"/>
  <c r="L45" i="2"/>
  <c r="L51" i="2" s="1"/>
  <c r="G51" i="2"/>
  <c r="F48" i="2"/>
  <c r="K42" i="2"/>
  <c r="K48" i="2" s="1"/>
  <c r="L43" i="2"/>
  <c r="L49" i="2" s="1"/>
  <c r="G49" i="2"/>
  <c r="K43" i="2" l="1"/>
  <c r="K49" i="2" s="1"/>
</calcChain>
</file>

<file path=xl/sharedStrings.xml><?xml version="1.0" encoding="utf-8"?>
<sst xmlns="http://schemas.openxmlformats.org/spreadsheetml/2006/main" count="153" uniqueCount="129">
  <si>
    <t>ASSUMPTIONS</t>
  </si>
  <si>
    <t>Value</t>
  </si>
  <si>
    <t>Notes</t>
  </si>
  <si>
    <t>Work Calendar</t>
  </si>
  <si>
    <t xml:space="preserve">  Words per token</t>
  </si>
  <si>
    <t xml:space="preserve">  Number of employees</t>
  </si>
  <si>
    <t>Total headcount to price</t>
  </si>
  <si>
    <t>Low</t>
  </si>
  <si>
    <t>High</t>
  </si>
  <si>
    <t xml:space="preserve">  Opus 4.6</t>
  </si>
  <si>
    <t>Most capable, highest cost</t>
  </si>
  <si>
    <t xml:space="preserve">  Sonnet 4.6</t>
  </si>
  <si>
    <t xml:space="preserve">  Haiku 4.5</t>
  </si>
  <si>
    <t>Fast &amp; affordable</t>
  </si>
  <si>
    <t>Lowest cost option</t>
  </si>
  <si>
    <t xml:space="preserve">  Opus 4.6 (Batch)</t>
  </si>
  <si>
    <t xml:space="preserve">  Sonnet 4.6 (Batch)</t>
  </si>
  <si>
    <t xml:space="preserve">  Haiku 4.5 (Batch)</t>
  </si>
  <si>
    <t xml:space="preserve">  Haiku 3 (Batch)</t>
  </si>
  <si>
    <t>LEGEND</t>
  </si>
  <si>
    <t xml:space="preserve">  Blue values = Editable assumptions (change to run scenarios)</t>
  </si>
  <si>
    <t xml:space="preserve">  Black values = Calculated by formulas (do not overwrite)</t>
  </si>
  <si>
    <t>Model</t>
  </si>
  <si>
    <t>Opus 4.6</t>
  </si>
  <si>
    <t>Sonnet 4.6</t>
  </si>
  <si>
    <t>Haiku 4.5</t>
  </si>
  <si>
    <t>Estimates LLM API cost of processing an employee's daily consumed + produced words</t>
  </si>
  <si>
    <t>ASSUMPTIONS (cont.)</t>
  </si>
  <si>
    <t xml:space="preserve">  Days per week</t>
  </si>
  <si>
    <t>Standard work week</t>
  </si>
  <si>
    <t xml:space="preserve">  Weeks per year</t>
  </si>
  <si>
    <t>Excl. ~2 wks vacation</t>
  </si>
  <si>
    <t xml:space="preserve">  Work days / year</t>
  </si>
  <si>
    <t xml:space="preserve">  Work days / month</t>
  </si>
  <si>
    <t>Employee Production (Written/Spoken)</t>
  </si>
  <si>
    <t xml:space="preserve">  Emails sent / day</t>
  </si>
  <si>
    <t>~126 total exchanged (Radicati)</t>
  </si>
  <si>
    <t xml:space="preserve">  Words / sent email</t>
  </si>
  <si>
    <t>HubSpot range: 50–125</t>
  </si>
  <si>
    <t xml:space="preserve">  Slack msgs sent / day</t>
  </si>
  <si>
    <t>Avg ~92 msgs/day</t>
  </si>
  <si>
    <t xml:space="preserve">  Words / sent Slack msg</t>
  </si>
  <si>
    <t>Short msgs; adjust for org</t>
  </si>
  <si>
    <t xml:space="preserve">  Spoken words / day (all)</t>
  </si>
  <si>
    <t>Mid of 11,950–13,349 study</t>
  </si>
  <si>
    <t xml:space="preserve">  % spoken at work (low)</t>
  </si>
  <si>
    <t>Lighter meeting load</t>
  </si>
  <si>
    <t xml:space="preserve">  % spoken at work (high)</t>
  </si>
  <si>
    <t>Meeting-heavy role</t>
  </si>
  <si>
    <t>Employee Consumption (Read/Heard)</t>
  </si>
  <si>
    <t xml:space="preserve">  Emails received &amp; read / day</t>
  </si>
  <si>
    <t>~50% of 126 exchanged, actually read</t>
  </si>
  <si>
    <t xml:space="preserve">  Words / received email</t>
  </si>
  <si>
    <t>Received emails tend longer</t>
  </si>
  <si>
    <t xml:space="preserve">  Slack msgs read / day</t>
  </si>
  <si>
    <t>Read &gt; send; channels + DMs</t>
  </si>
  <si>
    <t xml:space="preserve">  Words / read Slack msg</t>
  </si>
  <si>
    <t>Includes longer channel posts</t>
  </si>
  <si>
    <t xml:space="preserve">  Words heard at work / day (low)</t>
  </si>
  <si>
    <t>~2–3 hrs meetings @ 130 wpm</t>
  </si>
  <si>
    <t xml:space="preserve">  Words heard at work / day (high)</t>
  </si>
  <si>
    <t>~4–5 hrs meetings @ 130 wpm</t>
  </si>
  <si>
    <t>Token &amp; Org Settings</t>
  </si>
  <si>
    <t>1 token ≈ 0.75 words (OpenAI)</t>
  </si>
  <si>
    <t xml:space="preserve">  LLM output-to-input ratio</t>
  </si>
  <si>
    <t>25% = summary; 100% = rewrite</t>
  </si>
  <si>
    <t>DAILY WORDS CONSUMED (Read/Heard)</t>
  </si>
  <si>
    <t>DAILY WORDS PRODUCED (Written/Spoken)</t>
  </si>
  <si>
    <t xml:space="preserve">  Emails read</t>
  </si>
  <si>
    <t xml:space="preserve">  Emails written</t>
  </si>
  <si>
    <t xml:space="preserve">  Slack read</t>
  </si>
  <si>
    <t xml:space="preserve">  Slack written</t>
  </si>
  <si>
    <t xml:space="preserve">  Words heard (meetings)</t>
  </si>
  <si>
    <t xml:space="preserve">  Words spoken</t>
  </si>
  <si>
    <t xml:space="preserve">  Docs / reports read</t>
  </si>
  <si>
    <t xml:space="preserve">  Docs / reports written</t>
  </si>
  <si>
    <t xml:space="preserve">  Total consumed words / day</t>
  </si>
  <si>
    <t xml:space="preserve">  Total produced words / day</t>
  </si>
  <si>
    <t>TOKENS — CONSUMED → LLM INPUT</t>
  </si>
  <si>
    <t>TOKENS — PRODUCED → LLM OUTPUT</t>
  </si>
  <si>
    <t xml:space="preserve">  Tokens / day</t>
  </si>
  <si>
    <t xml:space="preserve">  Tokens / month</t>
  </si>
  <si>
    <t xml:space="preserve">  Tokens / year</t>
  </si>
  <si>
    <t xml:space="preserve">  MTok / year (millions)</t>
  </si>
  <si>
    <t xml:space="preserve">  TOTAL TOKENS / YEAR (input + output)</t>
  </si>
  <si>
    <t xml:space="preserve">  Total MTok / year</t>
  </si>
  <si>
    <t>API COST ANALYSIS</t>
  </si>
  <si>
    <t>Input
$/MTok</t>
  </si>
  <si>
    <t>Output
$/MTok</t>
  </si>
  <si>
    <t>Per Emp
$/Mo (Low)</t>
  </si>
  <si>
    <t>Per Emp
$/Mo (High)</t>
  </si>
  <si>
    <t>Per Emp
$/Yr (Low)</t>
  </si>
  <si>
    <t>Per Emp
$/Yr (High)</t>
  </si>
  <si>
    <t>Org $/Mo
(Low)</t>
  </si>
  <si>
    <t>Org $/Mo
(High)</t>
  </si>
  <si>
    <t>Org $/Yr
(Low)</t>
  </si>
  <si>
    <t>Org $/Yr
(High)</t>
  </si>
  <si>
    <t>Best cost/capability balance</t>
  </si>
  <si>
    <t>BATCH API (50% discount)</t>
  </si>
  <si>
    <t>50% off standard</t>
  </si>
  <si>
    <t>DAYS/wk * wks/yr</t>
  </si>
  <si>
    <t>DAYS/yr / 12</t>
  </si>
  <si>
    <t>Cheaper Model</t>
  </si>
  <si>
    <t xml:space="preserve">  Cheaper Model</t>
  </si>
  <si>
    <t xml:space="preserve">  Reports / docs written per day</t>
  </si>
  <si>
    <t>Emails, briefs, status updates</t>
  </si>
  <si>
    <t xml:space="preserve">  Avg words per written doc</t>
  </si>
  <si>
    <t>Short reports/briefs; adjust for role</t>
  </si>
  <si>
    <t xml:space="preserve">  Reports / docs read per day</t>
  </si>
  <si>
    <t>Specs, reports, memos, wikis</t>
  </si>
  <si>
    <t xml:space="preserve">  Avg words per read doc</t>
  </si>
  <si>
    <t>Read docs tend longer than written</t>
  </si>
  <si>
    <t>Intelligence Layer (System Prompt Overhead)</t>
  </si>
  <si>
    <t xml:space="preserve">  System prompt tokens per API call</t>
  </si>
  <si>
    <t>Instructions, persona, context window</t>
  </si>
  <si>
    <t xml:space="preserve">  API calls per employee per day</t>
  </si>
  <si>
    <t>~1 per email + meetings + ad hoc</t>
  </si>
  <si>
    <t xml:space="preserve">  Tokens / day (incl. system prompt)</t>
  </si>
  <si>
    <t>$/Mo (Low)</t>
  </si>
  <si>
    <t>$/Mo (High)</t>
  </si>
  <si>
    <t>Emails Read</t>
  </si>
  <si>
    <t>Slack Read</t>
  </si>
  <si>
    <t>Docs Read</t>
  </si>
  <si>
    <t>LLM Output</t>
  </si>
  <si>
    <t>Low Scenario</t>
  </si>
  <si>
    <t>High Scenario</t>
  </si>
  <si>
    <t>Meetings Heard</t>
  </si>
  <si>
    <t>⚡ System Prompt</t>
  </si>
  <si>
    <t>MEASURING INPUT/OUPUT PRODUCED BY CURRENT EMPLOYEES IN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</si>
</sst>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&quot;$&quot;#,##0.00"/>
    <numFmt numFmtId="166" formatCode="&quot;$&quot;#,##0"/>
  </numFmts>
  <fonts count="15" x14ac:knownFonts="1">
    <font>
      <sz val="12"/>
      <color theme="1"/>
      <name val="Aptos Narrow"/>
      <family val="2"/>
      <scheme val="minor"/>
    </font>
    <font>
      <sz val="10"/>
      <color rgb="FF808080"/>
      <name val="Arial"/>
      <family val="2"/>
    </font>
    <font>
      <i/>
      <sz val="10"/>
      <color rgb="FF80808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rgb="FF1F4E79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808080"/>
      <name val="Arial"/>
      <family val="2"/>
    </font>
    <font>
      <b/>
      <sz val="9"/>
      <color rgb="FF0000FF"/>
      <name val="Arial"/>
      <family val="2"/>
    </font>
    <font>
      <b/>
      <sz val="22"/>
      <color rgb="FF1F4E7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0" fillId="3" borderId="0" xfId="0" applyFill="1"/>
    <xf numFmtId="0" fontId="3" fillId="0" borderId="0" xfId="0" applyFont="1"/>
    <xf numFmtId="1" fontId="4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5" fillId="0" borderId="0" xfId="0" applyFont="1"/>
    <xf numFmtId="0" fontId="5" fillId="3" borderId="0" xfId="0" applyFont="1" applyFill="1"/>
    <xf numFmtId="3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6" fillId="0" borderId="0" xfId="0" applyFont="1"/>
    <xf numFmtId="0" fontId="6" fillId="4" borderId="0" xfId="0" applyFont="1" applyFill="1"/>
    <xf numFmtId="3" fontId="6" fillId="4" borderId="0" xfId="0" applyNumberFormat="1" applyFont="1" applyFill="1" applyAlignment="1">
      <alignment horizontal="center"/>
    </xf>
    <xf numFmtId="2" fontId="6" fillId="4" borderId="0" xfId="0" applyNumberFormat="1" applyFont="1" applyFill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165" fontId="4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0" fillId="5" borderId="0" xfId="0" applyFill="1"/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165" fontId="8" fillId="0" borderId="0" xfId="0" applyNumberFormat="1" applyFont="1"/>
    <xf numFmtId="0" fontId="10" fillId="2" borderId="0" xfId="0" applyFont="1" applyFill="1"/>
    <xf numFmtId="0" fontId="7" fillId="6" borderId="0" xfId="0" applyFont="1" applyFill="1"/>
    <xf numFmtId="0" fontId="7" fillId="6" borderId="0" xfId="0" applyFont="1" applyFill="1" applyAlignment="1">
      <alignment horizontal="center"/>
    </xf>
    <xf numFmtId="0" fontId="6" fillId="3" borderId="0" xfId="0" applyFont="1" applyFill="1"/>
    <xf numFmtId="3" fontId="6" fillId="3" borderId="0" xfId="0" applyNumberFormat="1" applyFont="1" applyFill="1" applyAlignment="1">
      <alignment horizontal="center"/>
    </xf>
    <xf numFmtId="2" fontId="6" fillId="3" borderId="0" xfId="0" applyNumberFormat="1" applyFont="1" applyFill="1" applyAlignment="1">
      <alignment horizontal="center"/>
    </xf>
    <xf numFmtId="0" fontId="6" fillId="7" borderId="0" xfId="0" applyFont="1" applyFill="1"/>
    <xf numFmtId="3" fontId="6" fillId="7" borderId="0" xfId="0" applyNumberFormat="1" applyFont="1" applyFill="1" applyAlignment="1">
      <alignment horizontal="center"/>
    </xf>
    <xf numFmtId="2" fontId="6" fillId="7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center" wrapText="1"/>
    </xf>
    <xf numFmtId="0" fontId="12" fillId="0" borderId="0" xfId="0" applyFont="1"/>
    <xf numFmtId="0" fontId="11" fillId="5" borderId="0" xfId="0" applyFont="1" applyFill="1" applyAlignment="1">
      <alignment horizontal="center" wrapText="1"/>
    </xf>
    <xf numFmtId="0" fontId="11" fillId="5" borderId="0" xfId="0" applyFont="1" applyFill="1"/>
    <xf numFmtId="0" fontId="13" fillId="0" borderId="0" xfId="0" applyFont="1"/>
    <xf numFmtId="3" fontId="8" fillId="0" borderId="0" xfId="0" applyNumberFormat="1" applyFont="1"/>
    <xf numFmtId="0" fontId="9" fillId="0" borderId="0" xfId="0" applyFont="1" applyAlignment="1">
      <alignment horizontal="center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 Output per Employee in AI Cost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Token Cost Model'!$J$53</c:f>
              <c:strCache>
                <c:ptCount val="1"/>
                <c:pt idx="0">
                  <c:v>$/Mo (Low)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'Employee Token Cost Model'!$I$54:$I$57</c:f>
              <c:strCache>
                <c:ptCount val="4"/>
                <c:pt idx="0">
                  <c:v>Opus 4.6</c:v>
                </c:pt>
                <c:pt idx="1">
                  <c:v>Sonnet 4.6</c:v>
                </c:pt>
                <c:pt idx="2">
                  <c:v>Haiku 4.5</c:v>
                </c:pt>
                <c:pt idx="3">
                  <c:v>Cheaper Model</c:v>
                </c:pt>
              </c:strCache>
            </c:strRef>
          </c:cat>
          <c:val>
            <c:numRef>
              <c:f>'Employee Token Cost Model'!$J$54:$J$57</c:f>
              <c:numCache>
                <c:formatCode>"$"#,##0.00</c:formatCode>
                <c:ptCount val="4"/>
                <c:pt idx="0">
                  <c:v>8.7543402777777786</c:v>
                </c:pt>
                <c:pt idx="1">
                  <c:v>5.2526041666666661</c:v>
                </c:pt>
                <c:pt idx="2">
                  <c:v>1.7508680555555556</c:v>
                </c:pt>
                <c:pt idx="3">
                  <c:v>0.4377170138888889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D-394C-AB5C-90A2F3096F79}"/>
            </c:ext>
          </c:extLst>
        </c:ser>
        <c:ser>
          <c:idx val="1"/>
          <c:order val="1"/>
          <c:tx>
            <c:strRef>
              <c:f>'Employee Token Cost Model'!$K$53</c:f>
              <c:strCache>
                <c:ptCount val="1"/>
                <c:pt idx="0">
                  <c:v>$/Mo (High)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'Employee Token Cost Model'!$I$54:$I$57</c:f>
              <c:strCache>
                <c:ptCount val="4"/>
                <c:pt idx="0">
                  <c:v>Opus 4.6</c:v>
                </c:pt>
                <c:pt idx="1">
                  <c:v>Sonnet 4.6</c:v>
                </c:pt>
                <c:pt idx="2">
                  <c:v>Haiku 4.5</c:v>
                </c:pt>
                <c:pt idx="3">
                  <c:v>Cheaper Model</c:v>
                </c:pt>
              </c:strCache>
            </c:strRef>
          </c:cat>
          <c:val>
            <c:numRef>
              <c:f>'Employee Token Cost Model'!$K$54:$K$57</c:f>
              <c:numCache>
                <c:formatCode>"$"#,##0.00</c:formatCode>
                <c:ptCount val="4"/>
                <c:pt idx="0">
                  <c:v>9.9461805555555554</c:v>
                </c:pt>
                <c:pt idx="1">
                  <c:v>5.9677083333333334</c:v>
                </c:pt>
                <c:pt idx="2">
                  <c:v>1.9892361111111112</c:v>
                </c:pt>
                <c:pt idx="3">
                  <c:v>0.4973090277777778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3D-394C-AB5C-90A2F3096F7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79240319"/>
        <c:axId val="1050373503"/>
      </c:barChart>
      <c:catAx>
        <c:axId val="107924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373503"/>
        <c:crosses val="autoZero"/>
        <c:auto val="1"/>
        <c:lblAlgn val="ctr"/>
        <c:lblOffset val="100"/>
        <c:noMultiLvlLbl val="0"/>
      </c:catAx>
      <c:valAx>
        <c:axId val="105037350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1079240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Token Volume by Source (per Employee)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'Employee Token Cost Model'!$J$59</c:f>
              <c:strCache>
                <c:ptCount val="1"/>
                <c:pt idx="0">
                  <c:v>Low Scenario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'Employee Token Cost Model'!$I$60:$I$65</c:f>
              <c:strCache>
                <c:ptCount val="6"/>
                <c:pt idx="0">
                  <c:v>Emails Read</c:v>
                </c:pt>
                <c:pt idx="1">
                  <c:v>Slack Read</c:v>
                </c:pt>
                <c:pt idx="2">
                  <c:v>Meetings Heard</c:v>
                </c:pt>
                <c:pt idx="3">
                  <c:v>Docs Read</c:v>
                </c:pt>
                <c:pt idx="4">
                  <c:v>⚡ System Prompt</c:v>
                </c:pt>
                <c:pt idx="5">
                  <c:v>LLM Output</c:v>
                </c:pt>
              </c:strCache>
            </c:strRef>
          </c:cat>
          <c:val>
            <c:numRef>
              <c:f>'Employee Token Cost Model'!$J$60:$J$65</c:f>
              <c:numCache>
                <c:formatCode>#,##0</c:formatCode>
                <c:ptCount val="6"/>
                <c:pt idx="0">
                  <c:v>8800</c:v>
                </c:pt>
                <c:pt idx="1">
                  <c:v>4000</c:v>
                </c:pt>
                <c:pt idx="2">
                  <c:v>10666.666666666666</c:v>
                </c:pt>
                <c:pt idx="3">
                  <c:v>5333.333333333333</c:v>
                </c:pt>
                <c:pt idx="4">
                  <c:v>40000</c:v>
                </c:pt>
                <c:pt idx="5">
                  <c:v>3048.3333333333335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3-DB40-BD52-8D72C2CE052A}"/>
            </c:ext>
          </c:extLst>
        </c:ser>
        <c:ser>
          <c:idx val="1"/>
          <c:order val="1"/>
          <c:tx>
            <c:strRef>
              <c:f>'Employee Token Cost Model'!$K$59</c:f>
              <c:strCache>
                <c:ptCount val="1"/>
                <c:pt idx="0">
                  <c:v>High Scenario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'Employee Token Cost Model'!$I$60:$I$65</c:f>
              <c:strCache>
                <c:ptCount val="6"/>
                <c:pt idx="0">
                  <c:v>Emails Read</c:v>
                </c:pt>
                <c:pt idx="1">
                  <c:v>Slack Read</c:v>
                </c:pt>
                <c:pt idx="2">
                  <c:v>Meetings Heard</c:v>
                </c:pt>
                <c:pt idx="3">
                  <c:v>Docs Read</c:v>
                </c:pt>
                <c:pt idx="4">
                  <c:v>⚡ System Prompt</c:v>
                </c:pt>
                <c:pt idx="5">
                  <c:v>LLM Output</c:v>
                </c:pt>
              </c:strCache>
            </c:strRef>
          </c:cat>
          <c:val>
            <c:numRef>
              <c:f>'Employee Token Cost Model'!$K$60:$K$65</c:f>
              <c:numCache>
                <c:formatCode>#,##0</c:formatCode>
                <c:ptCount val="6"/>
                <c:pt idx="0">
                  <c:v>8800</c:v>
                </c:pt>
                <c:pt idx="1">
                  <c:v>4000</c:v>
                </c:pt>
                <c:pt idx="2">
                  <c:v>20000</c:v>
                </c:pt>
                <c:pt idx="3">
                  <c:v>5333.333333333333</c:v>
                </c:pt>
                <c:pt idx="4">
                  <c:v>40000</c:v>
                </c:pt>
                <c:pt idx="5">
                  <c:v>3470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73-DB40-BD52-8D72C2CE052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59780607"/>
        <c:axId val="1059770751"/>
      </c:barChart>
      <c:catAx>
        <c:axId val="1059780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770751"/>
        <c:crosses val="autoZero"/>
        <c:auto val="1"/>
        <c:lblAlgn val="ctr"/>
        <c:lblOffset val="100"/>
        <c:noMultiLvlLbl val="0"/>
      </c:catAx>
      <c:valAx>
        <c:axId val="10597707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78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372533</xdr:colOff>
      <xdr:row>2</xdr:row>
      <xdr:rowOff>16934</xdr:rowOff>
    </xdr:from>
    <xdr:to>
      <xdr:col>12</xdr:col>
      <xdr:colOff>1117600</xdr:colOff>
      <xdr:row>18</xdr:row>
      <xdr:rowOff>118534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109FDE-6465-8EC5-DBCE-E647880E8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368299</xdr:colOff>
      <xdr:row>19</xdr:row>
      <xdr:rowOff>186267</xdr:rowOff>
    </xdr:from>
    <xdr:to>
      <xdr:col>12</xdr:col>
      <xdr:colOff>1236133</xdr:colOff>
      <xdr:row>37</xdr:row>
      <xdr:rowOff>67734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13E86F9-BFC7-6163-A5E3-91AE04978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1D7480-57FB-1D4D-903E-66A402CF0D71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740E-3792-E745-8F3C-A62F10DAF34F}">
  <dimension ref="A1:M65"/>
  <sheetViews>
    <sheetView showGridLines="0" tabSelected="1" zoomScale="75" workbookViewId="0">
      <selection activeCell="Q15" sqref="Q15"/>
    </sheetView>
  </sheetViews>
  <sheetFormatPr baseColWidth="10" defaultRowHeight="16" x14ac:dyDescent="0.2"/>
  <cols>
    <col min="1" max="1" width="41.6640625" customWidth="1"/>
    <col min="2" max="2" width="15.83203125" customWidth="1"/>
    <col min="3" max="3" width="26.33203125" customWidth="1"/>
    <col min="4" max="4" width="15" customWidth="1"/>
    <col min="5" max="5" width="32" customWidth="1"/>
    <col min="6" max="6" width="15" customWidth="1"/>
    <col min="7" max="7" width="28.5" customWidth="1"/>
    <col min="8" max="8" width="3.5" customWidth="1"/>
    <col min="9" max="11" width="14.1640625" customWidth="1"/>
    <col min="12" max="12" width="17.1640625" customWidth="1"/>
    <col min="13" max="13" width="27" customWidth="1"/>
  </cols>
  <sheetData>
    <row r="1" spans="1:7" ht="28" x14ac:dyDescent="0.3">
      <c r="A1" s="45" t="s">
        <v>128</v>
      </c>
    </row>
    <row r="2" spans="1:7" x14ac:dyDescent="0.2">
      <c r="A2" s="2" t="s">
        <v>26</v>
      </c>
    </row>
    <row r="4" spans="1:7" x14ac:dyDescent="0.2">
      <c r="A4" s="29" t="s">
        <v>0</v>
      </c>
      <c r="B4" s="19" t="s">
        <v>1</v>
      </c>
      <c r="C4" s="18" t="s">
        <v>2</v>
      </c>
      <c r="E4" s="29" t="s">
        <v>27</v>
      </c>
      <c r="F4" s="19" t="s">
        <v>1</v>
      </c>
      <c r="G4" s="18" t="s">
        <v>2</v>
      </c>
    </row>
    <row r="5" spans="1:7" x14ac:dyDescent="0.2">
      <c r="A5" s="9" t="s">
        <v>3</v>
      </c>
      <c r="B5" s="3"/>
      <c r="C5" s="3"/>
      <c r="E5" s="9" t="s">
        <v>49</v>
      </c>
      <c r="F5" s="3"/>
      <c r="G5" s="3"/>
    </row>
    <row r="6" spans="1:7" x14ac:dyDescent="0.2">
      <c r="A6" s="4" t="s">
        <v>28</v>
      </c>
      <c r="B6" s="5">
        <v>5</v>
      </c>
      <c r="C6" s="1" t="s">
        <v>29</v>
      </c>
      <c r="E6" s="4" t="s">
        <v>50</v>
      </c>
      <c r="F6" s="5">
        <v>60</v>
      </c>
      <c r="G6" s="1" t="s">
        <v>51</v>
      </c>
    </row>
    <row r="7" spans="1:7" x14ac:dyDescent="0.2">
      <c r="A7" s="4" t="s">
        <v>30</v>
      </c>
      <c r="B7" s="5">
        <v>50</v>
      </c>
      <c r="C7" s="1" t="s">
        <v>31</v>
      </c>
      <c r="E7" s="4" t="s">
        <v>52</v>
      </c>
      <c r="F7" s="5">
        <v>110</v>
      </c>
      <c r="G7" s="1" t="s">
        <v>53</v>
      </c>
    </row>
    <row r="8" spans="1:7" x14ac:dyDescent="0.2">
      <c r="A8" s="4" t="s">
        <v>32</v>
      </c>
      <c r="B8" s="6">
        <f>B6*B7</f>
        <v>250</v>
      </c>
      <c r="C8" s="1" t="s">
        <v>100</v>
      </c>
      <c r="E8" s="4" t="s">
        <v>54</v>
      </c>
      <c r="F8" s="5">
        <v>200</v>
      </c>
      <c r="G8" s="1" t="s">
        <v>55</v>
      </c>
    </row>
    <row r="9" spans="1:7" x14ac:dyDescent="0.2">
      <c r="A9" s="4" t="s">
        <v>33</v>
      </c>
      <c r="B9" s="7">
        <f>B8/12</f>
        <v>20.833333333333332</v>
      </c>
      <c r="C9" s="1" t="s">
        <v>101</v>
      </c>
      <c r="E9" s="4" t="s">
        <v>56</v>
      </c>
      <c r="F9" s="5">
        <v>15</v>
      </c>
      <c r="G9" s="1" t="s">
        <v>57</v>
      </c>
    </row>
    <row r="10" spans="1:7" x14ac:dyDescent="0.2">
      <c r="E10" s="4" t="s">
        <v>58</v>
      </c>
      <c r="F10" s="10">
        <v>8000</v>
      </c>
      <c r="G10" s="1" t="s">
        <v>59</v>
      </c>
    </row>
    <row r="11" spans="1:7" x14ac:dyDescent="0.2">
      <c r="A11" s="9" t="s">
        <v>34</v>
      </c>
      <c r="B11" s="3"/>
      <c r="C11" s="3"/>
      <c r="E11" s="4" t="s">
        <v>60</v>
      </c>
      <c r="F11" s="10">
        <v>15000</v>
      </c>
      <c r="G11" s="1" t="s">
        <v>61</v>
      </c>
    </row>
    <row r="12" spans="1:7" x14ac:dyDescent="0.2">
      <c r="A12" s="4" t="s">
        <v>35</v>
      </c>
      <c r="B12" s="5">
        <v>35</v>
      </c>
      <c r="C12" s="1" t="s">
        <v>36</v>
      </c>
    </row>
    <row r="13" spans="1:7" x14ac:dyDescent="0.2">
      <c r="A13" s="4" t="s">
        <v>104</v>
      </c>
      <c r="B13" s="5">
        <v>2</v>
      </c>
      <c r="C13" s="1" t="s">
        <v>105</v>
      </c>
      <c r="E13" s="4" t="s">
        <v>108</v>
      </c>
      <c r="F13" s="5">
        <v>5</v>
      </c>
      <c r="G13" s="1" t="s">
        <v>109</v>
      </c>
    </row>
    <row r="14" spans="1:7" x14ac:dyDescent="0.2">
      <c r="A14" s="4" t="s">
        <v>106</v>
      </c>
      <c r="B14" s="10">
        <v>500</v>
      </c>
      <c r="C14" s="1" t="s">
        <v>107</v>
      </c>
      <c r="E14" s="4" t="s">
        <v>110</v>
      </c>
      <c r="F14" s="10">
        <v>800</v>
      </c>
      <c r="G14" s="1" t="s">
        <v>111</v>
      </c>
    </row>
    <row r="15" spans="1:7" x14ac:dyDescent="0.2">
      <c r="A15" s="4"/>
      <c r="B15" s="5"/>
      <c r="C15" s="1"/>
    </row>
    <row r="16" spans="1:7" x14ac:dyDescent="0.2">
      <c r="A16" s="4" t="s">
        <v>37</v>
      </c>
      <c r="B16" s="5">
        <v>90</v>
      </c>
      <c r="C16" s="1" t="s">
        <v>38</v>
      </c>
      <c r="E16" s="9" t="s">
        <v>112</v>
      </c>
      <c r="F16" s="3"/>
      <c r="G16" s="3"/>
    </row>
    <row r="17" spans="1:7" x14ac:dyDescent="0.2">
      <c r="A17" s="4" t="s">
        <v>39</v>
      </c>
      <c r="B17" s="5">
        <v>100</v>
      </c>
      <c r="C17" s="1" t="s">
        <v>40</v>
      </c>
      <c r="E17" s="4" t="s">
        <v>113</v>
      </c>
      <c r="F17" s="10">
        <v>1000</v>
      </c>
      <c r="G17" s="1" t="s">
        <v>114</v>
      </c>
    </row>
    <row r="18" spans="1:7" x14ac:dyDescent="0.2">
      <c r="A18" s="4" t="s">
        <v>41</v>
      </c>
      <c r="B18" s="5">
        <v>12</v>
      </c>
      <c r="C18" s="1" t="s">
        <v>42</v>
      </c>
      <c r="E18" s="4" t="s">
        <v>115</v>
      </c>
      <c r="F18" s="5">
        <v>40</v>
      </c>
      <c r="G18" s="1" t="s">
        <v>116</v>
      </c>
    </row>
    <row r="19" spans="1:7" x14ac:dyDescent="0.2">
      <c r="A19" s="4" t="s">
        <v>43</v>
      </c>
      <c r="B19" s="10">
        <v>12650</v>
      </c>
      <c r="C19" s="1" t="s">
        <v>44</v>
      </c>
      <c r="E19" s="9" t="s">
        <v>62</v>
      </c>
      <c r="F19" s="3"/>
      <c r="G19" s="3"/>
    </row>
    <row r="20" spans="1:7" x14ac:dyDescent="0.2">
      <c r="A20" s="4" t="s">
        <v>45</v>
      </c>
      <c r="B20" s="11">
        <v>0.3</v>
      </c>
      <c r="C20" s="1" t="s">
        <v>46</v>
      </c>
      <c r="E20" s="4" t="s">
        <v>4</v>
      </c>
      <c r="F20" s="12">
        <v>0.75</v>
      </c>
      <c r="G20" s="1" t="s">
        <v>63</v>
      </c>
    </row>
    <row r="21" spans="1:7" x14ac:dyDescent="0.2">
      <c r="A21" s="4" t="s">
        <v>47</v>
      </c>
      <c r="B21" s="11">
        <v>0.4</v>
      </c>
      <c r="C21" s="1" t="s">
        <v>48</v>
      </c>
      <c r="E21" s="4" t="s">
        <v>64</v>
      </c>
      <c r="F21" s="11">
        <v>0.25</v>
      </c>
      <c r="G21" s="1" t="s">
        <v>65</v>
      </c>
    </row>
    <row r="22" spans="1:7" x14ac:dyDescent="0.2">
      <c r="E22" s="4" t="s">
        <v>5</v>
      </c>
      <c r="F22" s="10">
        <v>100</v>
      </c>
      <c r="G22" s="1" t="s">
        <v>6</v>
      </c>
    </row>
    <row r="24" spans="1:7" x14ac:dyDescent="0.2">
      <c r="A24" s="24" t="s">
        <v>66</v>
      </c>
      <c r="B24" s="25" t="s">
        <v>7</v>
      </c>
      <c r="C24" s="25" t="s">
        <v>8</v>
      </c>
      <c r="E24" s="30" t="s">
        <v>67</v>
      </c>
      <c r="F24" s="31" t="s">
        <v>7</v>
      </c>
      <c r="G24" s="31" t="s">
        <v>8</v>
      </c>
    </row>
    <row r="25" spans="1:7" x14ac:dyDescent="0.2">
      <c r="A25" s="4" t="s">
        <v>68</v>
      </c>
      <c r="B25" s="13">
        <f>F6*F7</f>
        <v>6600</v>
      </c>
      <c r="C25" s="13">
        <f>F6*F7</f>
        <v>6600</v>
      </c>
      <c r="E25" s="4" t="s">
        <v>69</v>
      </c>
      <c r="F25" s="13">
        <f>B12*B16</f>
        <v>3150</v>
      </c>
      <c r="G25" s="13">
        <f>B12*B16</f>
        <v>3150</v>
      </c>
    </row>
    <row r="26" spans="1:7" x14ac:dyDescent="0.2">
      <c r="A26" s="4" t="s">
        <v>70</v>
      </c>
      <c r="B26" s="13">
        <f>F8*F9</f>
        <v>3000</v>
      </c>
      <c r="C26" s="13">
        <f>F8*F9</f>
        <v>3000</v>
      </c>
      <c r="E26" s="4" t="s">
        <v>71</v>
      </c>
      <c r="F26" s="13">
        <f>B17*B18</f>
        <v>1200</v>
      </c>
      <c r="G26" s="13">
        <f>B17*B18</f>
        <v>1200</v>
      </c>
    </row>
    <row r="27" spans="1:7" x14ac:dyDescent="0.2">
      <c r="A27" s="4" t="s">
        <v>72</v>
      </c>
      <c r="B27" s="13">
        <f>F10</f>
        <v>8000</v>
      </c>
      <c r="C27" s="13">
        <f>F11</f>
        <v>15000</v>
      </c>
      <c r="E27" s="4" t="s">
        <v>73</v>
      </c>
      <c r="F27" s="13">
        <f>B19*B20</f>
        <v>3795</v>
      </c>
      <c r="G27" s="13">
        <f>B19*B21</f>
        <v>5060</v>
      </c>
    </row>
    <row r="28" spans="1:7" x14ac:dyDescent="0.2">
      <c r="A28" s="4" t="s">
        <v>74</v>
      </c>
      <c r="B28" s="10">
        <f>F13*F14</f>
        <v>4000</v>
      </c>
      <c r="C28" s="10">
        <f>F13*F14</f>
        <v>4000</v>
      </c>
      <c r="E28" s="4" t="s">
        <v>75</v>
      </c>
      <c r="F28" s="10">
        <f>B13*B14</f>
        <v>1000</v>
      </c>
      <c r="G28" s="10">
        <f>B13*B14</f>
        <v>1000</v>
      </c>
    </row>
    <row r="30" spans="1:7" x14ac:dyDescent="0.2">
      <c r="A30" s="15" t="s">
        <v>76</v>
      </c>
      <c r="B30" s="16">
        <f>SUM(B25:B28)</f>
        <v>21600</v>
      </c>
      <c r="C30" s="16">
        <f>SUM(C25:C28)</f>
        <v>28600</v>
      </c>
      <c r="E30" s="32" t="s">
        <v>77</v>
      </c>
      <c r="F30" s="33">
        <f>SUM(F25:F28)</f>
        <v>9145</v>
      </c>
      <c r="G30" s="33">
        <f>SUM(G25:G28)</f>
        <v>10410</v>
      </c>
    </row>
    <row r="32" spans="1:7" x14ac:dyDescent="0.2">
      <c r="A32" s="24" t="s">
        <v>78</v>
      </c>
      <c r="B32" s="25" t="s">
        <v>7</v>
      </c>
      <c r="C32" s="25" t="s">
        <v>8</v>
      </c>
      <c r="E32" s="30" t="s">
        <v>79</v>
      </c>
      <c r="F32" s="31" t="s">
        <v>7</v>
      </c>
      <c r="G32" s="31" t="s">
        <v>8</v>
      </c>
    </row>
    <row r="33" spans="1:13" x14ac:dyDescent="0.2">
      <c r="A33" s="4" t="s">
        <v>117</v>
      </c>
      <c r="B33" s="13">
        <f>B30/F20+(F17*F18)</f>
        <v>68800</v>
      </c>
      <c r="C33" s="13">
        <f>C30/F20+(F17*F18)</f>
        <v>78133.333333333343</v>
      </c>
      <c r="E33" s="4" t="s">
        <v>80</v>
      </c>
      <c r="F33" s="13">
        <f>F30/F20*F21</f>
        <v>3048.3333333333335</v>
      </c>
      <c r="G33" s="13">
        <f>G30/F20*F21</f>
        <v>3470</v>
      </c>
    </row>
    <row r="34" spans="1:13" x14ac:dyDescent="0.2">
      <c r="A34" s="4" t="s">
        <v>81</v>
      </c>
      <c r="B34" s="13">
        <f>B33*B9</f>
        <v>1433333.3333333333</v>
      </c>
      <c r="C34" s="13">
        <f>C33*B9</f>
        <v>1627777.777777778</v>
      </c>
      <c r="E34" s="4" t="s">
        <v>81</v>
      </c>
      <c r="F34" s="13">
        <f>F33*B9</f>
        <v>63506.944444444445</v>
      </c>
      <c r="G34" s="13">
        <f>G33*B9</f>
        <v>72291.666666666657</v>
      </c>
    </row>
    <row r="35" spans="1:13" x14ac:dyDescent="0.2">
      <c r="A35" s="4" t="s">
        <v>82</v>
      </c>
      <c r="B35" s="13">
        <f>B33*B8</f>
        <v>17200000</v>
      </c>
      <c r="C35" s="13">
        <f>C33*B8</f>
        <v>19533333.333333336</v>
      </c>
      <c r="E35" s="4" t="s">
        <v>82</v>
      </c>
      <c r="F35" s="13">
        <f>F33*B8</f>
        <v>762083.33333333337</v>
      </c>
      <c r="G35" s="13">
        <f>G33*B8</f>
        <v>867500</v>
      </c>
    </row>
    <row r="37" spans="1:13" x14ac:dyDescent="0.2">
      <c r="A37" s="15" t="s">
        <v>83</v>
      </c>
      <c r="B37" s="17">
        <f>B35/1000000</f>
        <v>17.2</v>
      </c>
      <c r="C37" s="17">
        <f>C35/1000000</f>
        <v>19.533333333333335</v>
      </c>
      <c r="E37" s="32" t="s">
        <v>83</v>
      </c>
      <c r="F37" s="34">
        <f>F35/1000000</f>
        <v>0.76208333333333333</v>
      </c>
      <c r="G37" s="34">
        <f>G35/1000000</f>
        <v>0.86750000000000005</v>
      </c>
    </row>
    <row r="39" spans="1:13" x14ac:dyDescent="0.2">
      <c r="A39" s="35" t="s">
        <v>84</v>
      </c>
      <c r="B39" s="36">
        <f>B35+F35</f>
        <v>17962083.333333332</v>
      </c>
      <c r="C39" s="36">
        <f>C35+G35</f>
        <v>20400833.333333336</v>
      </c>
      <c r="E39" s="35" t="s">
        <v>85</v>
      </c>
      <c r="F39" s="37">
        <f>B39/1000000</f>
        <v>17.962083333333332</v>
      </c>
      <c r="G39" s="37">
        <f>C39/1000000</f>
        <v>20.400833333333335</v>
      </c>
    </row>
    <row r="41" spans="1:13" ht="35" customHeight="1" x14ac:dyDescent="0.2">
      <c r="A41" s="18" t="s">
        <v>86</v>
      </c>
      <c r="B41" s="38" t="s">
        <v>87</v>
      </c>
      <c r="C41" s="38" t="s">
        <v>88</v>
      </c>
      <c r="D41" s="38" t="s">
        <v>89</v>
      </c>
      <c r="E41" s="38" t="s">
        <v>90</v>
      </c>
      <c r="F41" s="38" t="s">
        <v>91</v>
      </c>
      <c r="G41" s="38" t="s">
        <v>92</v>
      </c>
      <c r="I41" s="38" t="s">
        <v>93</v>
      </c>
      <c r="J41" s="38" t="s">
        <v>94</v>
      </c>
      <c r="K41" s="38" t="s">
        <v>95</v>
      </c>
      <c r="L41" s="38" t="s">
        <v>96</v>
      </c>
      <c r="M41" s="38" t="s">
        <v>2</v>
      </c>
    </row>
    <row r="42" spans="1:13" x14ac:dyDescent="0.2">
      <c r="A42" s="14" t="s">
        <v>9</v>
      </c>
      <c r="B42" s="20">
        <v>5</v>
      </c>
      <c r="C42" s="20">
        <v>25</v>
      </c>
      <c r="D42" s="21">
        <f>(B34/1000000)*B42+(F34/1000000)*C42</f>
        <v>8.7543402777777786</v>
      </c>
      <c r="E42" s="21">
        <f>(C34/1000000)*B42+(G34/1000000)*C42</f>
        <v>9.9461805555555554</v>
      </c>
      <c r="F42" s="21">
        <f>(B35/1000000)*B42+(F35/1000000)*C42</f>
        <v>105.05208333333333</v>
      </c>
      <c r="G42" s="21">
        <f>(C35/1000000)*B42+(G35/1000000)*C42</f>
        <v>119.35416666666667</v>
      </c>
      <c r="I42" s="22">
        <f t="shared" ref="I42:L45" si="0">D42*$F$22</f>
        <v>875.43402777777783</v>
      </c>
      <c r="J42" s="22">
        <f t="shared" si="0"/>
        <v>994.61805555555554</v>
      </c>
      <c r="K42" s="22">
        <f t="shared" si="0"/>
        <v>10505.208333333332</v>
      </c>
      <c r="L42" s="22">
        <f t="shared" si="0"/>
        <v>11935.416666666668</v>
      </c>
      <c r="M42" s="39" t="s">
        <v>10</v>
      </c>
    </row>
    <row r="43" spans="1:13" x14ac:dyDescent="0.2">
      <c r="A43" s="14" t="s">
        <v>11</v>
      </c>
      <c r="B43" s="20">
        <v>3</v>
      </c>
      <c r="C43" s="20">
        <v>15</v>
      </c>
      <c r="D43" s="21">
        <f>(B34/1000000)*B43+(F34/1000000)*C43</f>
        <v>5.2526041666666661</v>
      </c>
      <c r="E43" s="21">
        <f>(C34/1000000)*B43+(G34/1000000)*C43</f>
        <v>5.9677083333333334</v>
      </c>
      <c r="F43" s="21">
        <f>(B35/1000000)*B43+(F35/1000000)*C43</f>
        <v>63.031249999999993</v>
      </c>
      <c r="G43" s="21">
        <f>(C35/1000000)*B43+(G35/1000000)*C43</f>
        <v>71.612500000000011</v>
      </c>
      <c r="I43" s="22">
        <f t="shared" si="0"/>
        <v>525.26041666666663</v>
      </c>
      <c r="J43" s="22">
        <f t="shared" si="0"/>
        <v>596.77083333333337</v>
      </c>
      <c r="K43" s="22">
        <f t="shared" si="0"/>
        <v>6303.1249999999991</v>
      </c>
      <c r="L43" s="22">
        <f t="shared" si="0"/>
        <v>7161.2500000000009</v>
      </c>
      <c r="M43" s="39" t="s">
        <v>97</v>
      </c>
    </row>
    <row r="44" spans="1:13" x14ac:dyDescent="0.2">
      <c r="A44" s="14" t="s">
        <v>12</v>
      </c>
      <c r="B44" s="20">
        <v>1</v>
      </c>
      <c r="C44" s="20">
        <v>5</v>
      </c>
      <c r="D44" s="21">
        <f>(B34/1000000)*B44+(F34/1000000)*C44</f>
        <v>1.7508680555555556</v>
      </c>
      <c r="E44" s="21">
        <f>(C34/1000000)*B44+(G34/1000000)*C44</f>
        <v>1.9892361111111112</v>
      </c>
      <c r="F44" s="21">
        <f>(B35/1000000)*B44+(F35/1000000)*C44</f>
        <v>21.010416666666664</v>
      </c>
      <c r="G44" s="21">
        <f>(C35/1000000)*B44+(G35/1000000)*C44</f>
        <v>23.870833333333337</v>
      </c>
      <c r="I44" s="22">
        <f t="shared" si="0"/>
        <v>175.08680555555557</v>
      </c>
      <c r="J44" s="22">
        <f t="shared" si="0"/>
        <v>198.92361111111111</v>
      </c>
      <c r="K44" s="22">
        <f t="shared" si="0"/>
        <v>2101.0416666666665</v>
      </c>
      <c r="L44" s="22">
        <f t="shared" si="0"/>
        <v>2387.0833333333339</v>
      </c>
      <c r="M44" s="39" t="s">
        <v>13</v>
      </c>
    </row>
    <row r="45" spans="1:13" x14ac:dyDescent="0.2">
      <c r="A45" s="14" t="s">
        <v>103</v>
      </c>
      <c r="B45" s="20">
        <v>0.25</v>
      </c>
      <c r="C45" s="20">
        <v>1.25</v>
      </c>
      <c r="D45" s="21">
        <f>(B34/1000000)*B45+(F34/1000000)*C45</f>
        <v>0.4377170138888889</v>
      </c>
      <c r="E45" s="21">
        <f>(C34/1000000)*B45+(G34/1000000)*C45</f>
        <v>0.4973090277777778</v>
      </c>
      <c r="F45" s="21">
        <f>(B35/1000000)*B45+(F35/1000000)*C45</f>
        <v>5.2526041666666661</v>
      </c>
      <c r="G45" s="21">
        <f>(C35/1000000)*B45+(G35/1000000)*C45</f>
        <v>5.9677083333333343</v>
      </c>
      <c r="I45" s="22">
        <f t="shared" si="0"/>
        <v>43.771701388888893</v>
      </c>
      <c r="J45" s="22">
        <f t="shared" si="0"/>
        <v>49.730902777777779</v>
      </c>
      <c r="K45" s="22">
        <f t="shared" si="0"/>
        <v>525.26041666666663</v>
      </c>
      <c r="L45" s="22">
        <f t="shared" si="0"/>
        <v>596.77083333333348</v>
      </c>
      <c r="M45" s="39" t="s">
        <v>14</v>
      </c>
    </row>
    <row r="47" spans="1:13" ht="35" customHeight="1" x14ac:dyDescent="0.2">
      <c r="A47" s="24" t="s">
        <v>98</v>
      </c>
      <c r="B47" s="23"/>
      <c r="C47" s="23"/>
      <c r="D47" s="40" t="s">
        <v>89</v>
      </c>
      <c r="E47" s="40" t="s">
        <v>90</v>
      </c>
      <c r="F47" s="40" t="s">
        <v>91</v>
      </c>
      <c r="G47" s="40" t="s">
        <v>92</v>
      </c>
      <c r="I47" s="40" t="s">
        <v>93</v>
      </c>
      <c r="J47" s="40" t="s">
        <v>94</v>
      </c>
      <c r="K47" s="40" t="s">
        <v>95</v>
      </c>
      <c r="L47" s="40" t="s">
        <v>96</v>
      </c>
      <c r="M47" s="41" t="s">
        <v>2</v>
      </c>
    </row>
    <row r="48" spans="1:13" x14ac:dyDescent="0.2">
      <c r="A48" s="14" t="s">
        <v>15</v>
      </c>
      <c r="D48" s="21">
        <f t="shared" ref="D48:G51" si="1">D42*0.5</f>
        <v>4.3771701388888893</v>
      </c>
      <c r="E48" s="21">
        <f t="shared" si="1"/>
        <v>4.9730902777777777</v>
      </c>
      <c r="F48" s="21">
        <f t="shared" si="1"/>
        <v>52.526041666666664</v>
      </c>
      <c r="G48" s="21">
        <f t="shared" si="1"/>
        <v>59.677083333333336</v>
      </c>
      <c r="I48" s="22">
        <f t="shared" ref="I48:L51" si="2">I42*0.5</f>
        <v>437.71701388888891</v>
      </c>
      <c r="J48" s="22">
        <f t="shared" si="2"/>
        <v>497.30902777777777</v>
      </c>
      <c r="K48" s="22">
        <f t="shared" si="2"/>
        <v>5252.6041666666661</v>
      </c>
      <c r="L48" s="22">
        <f t="shared" si="2"/>
        <v>5967.7083333333339</v>
      </c>
      <c r="M48" s="39" t="s">
        <v>99</v>
      </c>
    </row>
    <row r="49" spans="1:13" x14ac:dyDescent="0.2">
      <c r="A49" s="14" t="s">
        <v>16</v>
      </c>
      <c r="D49" s="21">
        <f t="shared" si="1"/>
        <v>2.626302083333333</v>
      </c>
      <c r="E49" s="21">
        <f t="shared" si="1"/>
        <v>2.9838541666666667</v>
      </c>
      <c r="F49" s="21">
        <f t="shared" si="1"/>
        <v>31.515624999999996</v>
      </c>
      <c r="G49" s="21">
        <f t="shared" si="1"/>
        <v>35.806250000000006</v>
      </c>
      <c r="I49" s="22">
        <f t="shared" si="2"/>
        <v>262.63020833333331</v>
      </c>
      <c r="J49" s="22">
        <f t="shared" si="2"/>
        <v>298.38541666666669</v>
      </c>
      <c r="K49" s="22">
        <f t="shared" si="2"/>
        <v>3151.5624999999995</v>
      </c>
      <c r="L49" s="22">
        <f t="shared" si="2"/>
        <v>3580.6250000000005</v>
      </c>
      <c r="M49" s="39" t="s">
        <v>99</v>
      </c>
    </row>
    <row r="50" spans="1:13" x14ac:dyDescent="0.2">
      <c r="A50" s="14" t="s">
        <v>17</v>
      </c>
      <c r="D50" s="21">
        <f t="shared" si="1"/>
        <v>0.87543402777777779</v>
      </c>
      <c r="E50" s="21">
        <f t="shared" si="1"/>
        <v>0.9946180555555556</v>
      </c>
      <c r="F50" s="21">
        <f t="shared" si="1"/>
        <v>10.505208333333332</v>
      </c>
      <c r="G50" s="21">
        <f t="shared" si="1"/>
        <v>11.935416666666669</v>
      </c>
      <c r="I50" s="22">
        <f t="shared" si="2"/>
        <v>87.543402777777786</v>
      </c>
      <c r="J50" s="22">
        <f t="shared" si="2"/>
        <v>99.461805555555557</v>
      </c>
      <c r="K50" s="22">
        <f t="shared" si="2"/>
        <v>1050.5208333333333</v>
      </c>
      <c r="L50" s="22">
        <f t="shared" si="2"/>
        <v>1193.541666666667</v>
      </c>
      <c r="M50" s="39" t="s">
        <v>99</v>
      </c>
    </row>
    <row r="51" spans="1:13" x14ac:dyDescent="0.2">
      <c r="A51" s="14" t="s">
        <v>18</v>
      </c>
      <c r="D51" s="21">
        <f t="shared" si="1"/>
        <v>0.21885850694444445</v>
      </c>
      <c r="E51" s="21">
        <f t="shared" si="1"/>
        <v>0.2486545138888889</v>
      </c>
      <c r="F51" s="21">
        <f t="shared" si="1"/>
        <v>2.626302083333333</v>
      </c>
      <c r="G51" s="21">
        <f t="shared" si="1"/>
        <v>2.9838541666666671</v>
      </c>
      <c r="I51" s="22">
        <f t="shared" si="2"/>
        <v>21.885850694444446</v>
      </c>
      <c r="J51" s="22">
        <f t="shared" si="2"/>
        <v>24.865451388888889</v>
      </c>
      <c r="K51" s="22">
        <f t="shared" si="2"/>
        <v>262.63020833333331</v>
      </c>
      <c r="L51" s="22">
        <f t="shared" si="2"/>
        <v>298.38541666666674</v>
      </c>
      <c r="M51" s="39" t="s">
        <v>99</v>
      </c>
    </row>
    <row r="53" spans="1:13" x14ac:dyDescent="0.2">
      <c r="A53" s="8" t="s">
        <v>19</v>
      </c>
      <c r="I53" s="27" t="s">
        <v>22</v>
      </c>
      <c r="J53" s="27" t="s">
        <v>118</v>
      </c>
      <c r="K53" s="27" t="s">
        <v>119</v>
      </c>
    </row>
    <row r="54" spans="1:13" x14ac:dyDescent="0.2">
      <c r="A54" s="42" t="s">
        <v>20</v>
      </c>
      <c r="I54" s="26" t="s">
        <v>23</v>
      </c>
      <c r="J54" s="28">
        <f t="shared" ref="J54:K57" si="3">D42</f>
        <v>8.7543402777777786</v>
      </c>
      <c r="K54" s="28">
        <f t="shared" si="3"/>
        <v>9.9461805555555554</v>
      </c>
    </row>
    <row r="55" spans="1:13" x14ac:dyDescent="0.2">
      <c r="A55" s="39" t="s">
        <v>21</v>
      </c>
      <c r="I55" s="26" t="s">
        <v>24</v>
      </c>
      <c r="J55" s="28">
        <f t="shared" si="3"/>
        <v>5.2526041666666661</v>
      </c>
      <c r="K55" s="28">
        <f t="shared" si="3"/>
        <v>5.9677083333333334</v>
      </c>
    </row>
    <row r="56" spans="1:13" x14ac:dyDescent="0.2">
      <c r="I56" s="26" t="s">
        <v>25</v>
      </c>
      <c r="J56" s="28">
        <f t="shared" si="3"/>
        <v>1.7508680555555556</v>
      </c>
      <c r="K56" s="28">
        <f t="shared" si="3"/>
        <v>1.9892361111111112</v>
      </c>
    </row>
    <row r="57" spans="1:13" x14ac:dyDescent="0.2">
      <c r="I57" s="26" t="s">
        <v>102</v>
      </c>
      <c r="J57" s="28">
        <f t="shared" si="3"/>
        <v>0.4377170138888889</v>
      </c>
      <c r="K57" s="28">
        <f t="shared" si="3"/>
        <v>0.4973090277777778</v>
      </c>
    </row>
    <row r="59" spans="1:13" x14ac:dyDescent="0.2">
      <c r="I59" s="27"/>
      <c r="J59" s="44" t="s">
        <v>124</v>
      </c>
      <c r="K59" s="44" t="s">
        <v>125</v>
      </c>
    </row>
    <row r="60" spans="1:13" x14ac:dyDescent="0.2">
      <c r="I60" s="26" t="s">
        <v>120</v>
      </c>
      <c r="J60" s="43">
        <f>B25/F20</f>
        <v>8800</v>
      </c>
      <c r="K60" s="43">
        <f>C25/F20</f>
        <v>8800</v>
      </c>
    </row>
    <row r="61" spans="1:13" x14ac:dyDescent="0.2">
      <c r="I61" s="26" t="s">
        <v>121</v>
      </c>
      <c r="J61" s="43">
        <f>B26/F20</f>
        <v>4000</v>
      </c>
      <c r="K61" s="43">
        <f>C26/F20</f>
        <v>4000</v>
      </c>
    </row>
    <row r="62" spans="1:13" x14ac:dyDescent="0.2">
      <c r="I62" s="26" t="s">
        <v>126</v>
      </c>
      <c r="J62" s="43">
        <f>B27/F20</f>
        <v>10666.666666666666</v>
      </c>
      <c r="K62" s="43">
        <f>C27/F20</f>
        <v>20000</v>
      </c>
    </row>
    <row r="63" spans="1:13" x14ac:dyDescent="0.2">
      <c r="I63" s="26" t="s">
        <v>122</v>
      </c>
      <c r="J63" s="43">
        <f>B28/F20</f>
        <v>5333.333333333333</v>
      </c>
      <c r="K63" s="43">
        <f>C28/F20</f>
        <v>5333.333333333333</v>
      </c>
    </row>
    <row r="64" spans="1:13" x14ac:dyDescent="0.2">
      <c r="I64" s="27" t="s">
        <v>127</v>
      </c>
      <c r="J64" s="43">
        <f>F17*F18</f>
        <v>40000</v>
      </c>
      <c r="K64" s="43">
        <f>F17*F18</f>
        <v>40000</v>
      </c>
    </row>
    <row r="65" spans="9:11" x14ac:dyDescent="0.2">
      <c r="I65" s="26" t="s">
        <v>123</v>
      </c>
      <c r="J65" s="43">
        <f>F33</f>
        <v>3048.3333333333335</v>
      </c>
      <c r="K65" s="43">
        <f>G33</f>
        <v>3470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Token Cost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Bhatia</dc:creator>
  <cp:lastModifiedBy>Saurav Bhatia</cp:lastModifiedBy>
  <dcterms:created xsi:type="dcterms:W3CDTF">2026-03-03T13:10:47Z</dcterms:created>
  <dcterms:modified xsi:type="dcterms:W3CDTF">2026-03-06T02:41:17Z</dcterms:modified>
</cp:coreProperties>
</file>